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Concessionarias e Totens" sheetId="2" state="visible" r:id="rId2"/>
    <sheet name="Instalacoes Solares (SP)" sheetId="3" state="visible" r:id="rId3"/>
    <sheet name="Receita Consolidada (DRE)" sheetId="4" state="visible" r:id="rId4"/>
    <sheet name="Resumo Ex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sz val="10"/>
    </font>
    <font>
      <name val="Calibri"/>
      <b val="1"/>
      <color rgb="00FFFFFF"/>
      <sz val="11"/>
    </font>
    <font>
      <b val="1"/>
      <color rgb="00EC1C24"/>
      <sz val="12"/>
    </font>
    <font>
      <i val="1"/>
      <color rgb="00808080"/>
      <sz val="9"/>
    </font>
    <font>
      <b val="1"/>
    </font>
    <font>
      <i val="1"/>
      <sz val="9"/>
    </font>
    <font>
      <b val="1"/>
      <color rgb="00FFFFFF"/>
      <sz val="9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C1C2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4" borderId="1" pivotButton="0" quotePrefix="0" xfId="0"/>
    <xf numFmtId="10" fontId="0" fillId="4" borderId="1" pivotButton="0" quotePrefix="0" xfId="0"/>
    <xf numFmtId="164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1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0" fontId="7" fillId="0" borderId="0" applyAlignment="1" pivotButton="0" quotePrefix="0" xfId="0">
      <alignment wrapText="1"/>
    </xf>
    <xf numFmtId="10" fontId="0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164" fontId="6" fillId="6" borderId="1" pivotButton="0" quotePrefix="0" xfId="0"/>
    <xf numFmtId="10" fontId="6" fillId="0" borderId="1" pivotButton="0" quotePrefix="0" xfId="0"/>
    <xf numFmtId="0" fontId="8" fillId="3" borderId="0" applyAlignment="1" pivotButton="0" quotePrefix="0" xfId="0">
      <alignment horizontal="center" vertical="center" wrapText="1"/>
    </xf>
    <xf numFmtId="164" fontId="9" fillId="5" borderId="0" applyAlignment="1" pivotButton="0" quotePrefix="0" xfId="0">
      <alignment horizontal="center"/>
    </xf>
    <xf numFmtId="3" fontId="9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Receita por linha (cenario realista)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Executivo'!B8</f>
            </strRef>
          </tx>
          <spPr>
            <a:ln>
              <a:prstDash val="solid"/>
            </a:ln>
          </spPr>
          <cat>
            <numRef>
              <f>'Resumo Executivo'!$A$9:$A$13</f>
            </numRef>
          </cat>
          <val>
            <numRef>
              <f>'Resumo Executivo'!$B$9:$B$13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/ ano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Comparacao de cenarios — resultado liquido anual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Executivo'!B17</f>
            </strRef>
          </tx>
          <spPr>
            <a:ln>
              <a:prstDash val="solid"/>
            </a:ln>
          </spPr>
          <cat>
            <numRef>
              <f>'Resumo Executivo'!$A$18:$A$20</f>
            </numRef>
          </cat>
          <val>
            <numRef>
              <f>'Resumo Executivo'!$B$18:$B$20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/ ano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Composicao da receita (cenario realista)</a:t>
            </a:r>
          </a:p>
        </rich>
      </tx>
    </title>
    <plotArea>
      <pieChart>
        <varyColors val="1"/>
        <ser>
          <idx val="0"/>
          <order val="0"/>
          <tx>
            <strRef>
              <f>'Resumo Executivo'!B8</f>
            </strRef>
          </tx>
          <spPr>
            <a:ln>
              <a:prstDash val="solid"/>
            </a:ln>
          </spPr>
          <cat>
            <numRef>
              <f>'Resumo Executivo'!$A$9:$A$13</f>
            </numRef>
          </cat>
          <val>
            <numRef>
              <f>'Resumo Executivo'!$B$9:$B$13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15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  <col width="18" customWidth="1" min="3" max="3"/>
    <col width="48" customWidth="1" min="4" max="4"/>
  </cols>
  <sheetData>
    <row r="1" ht="24" customHeight="1">
      <c r="A1" s="1" t="inlineStr">
        <is>
          <t>EVOLUT x BYD — PREMISSAS (PAINEL DE CONTROLE)</t>
        </is>
      </c>
    </row>
    <row r="2">
      <c r="A2" s="2" t="inlineStr">
        <is>
          <t>Altere os valores em amarelo: toda a planilha recalcula automaticamente.</t>
        </is>
      </c>
    </row>
    <row r="3">
      <c r="A3" s="3" t="inlineStr">
        <is>
          <t>Premissa</t>
        </is>
      </c>
      <c r="B3" s="3" t="inlineStr">
        <is>
          <t>Valor</t>
        </is>
      </c>
      <c r="C3" s="3" t="inlineStr">
        <is>
          <t>Unidade</t>
        </is>
      </c>
      <c r="D3" s="3" t="inlineStr">
        <is>
          <t>Observacao</t>
        </is>
      </c>
    </row>
    <row r="4">
      <c r="A4" s="4" t="inlineStr">
        <is>
          <t>Total de concessionarias BYD no Brasil</t>
        </is>
      </c>
      <c r="B4" s="5" t="n">
        <v>220</v>
      </c>
      <c r="C4" s="4" t="inlineStr">
        <is>
          <t>unid.</t>
        </is>
      </c>
      <c r="D4" s="4" t="inlineStr">
        <is>
          <t>meta: 250 concessionarias</t>
        </is>
      </c>
    </row>
    <row r="5">
      <c r="A5" s="4" t="inlineStr">
        <is>
          <t>Meta de concessionarias BYD</t>
        </is>
      </c>
      <c r="B5" s="5" t="n">
        <v>250</v>
      </c>
      <c r="C5" s="4" t="inlineStr">
        <is>
          <t>unid.</t>
        </is>
      </c>
      <c r="D5" s="4" t="inlineStr">
        <is>
          <t>expansao planejada</t>
        </is>
      </c>
    </row>
    <row r="6">
      <c r="A6" s="4" t="inlineStr">
        <is>
          <t>BEVs vendidos/ano no Brasil (BYD, 2025)</t>
        </is>
      </c>
      <c r="B6" s="5" t="n">
        <v>46000</v>
      </c>
      <c r="C6" s="4" t="inlineStr">
        <is>
          <t>unid./ano</t>
        </is>
      </c>
      <c r="D6" s="4" t="inlineStr">
        <is>
          <t>lider com 73,62% do mercado BEV</t>
        </is>
      </c>
    </row>
    <row r="7">
      <c r="A7" s="4" t="inlineStr">
        <is>
          <t>% das vendas BEV concentradas em SP</t>
        </is>
      </c>
      <c r="B7" s="6" t="n">
        <v>0.25</v>
      </c>
      <c r="C7" s="4" t="inlineStr">
        <is>
          <t>%</t>
        </is>
      </c>
      <c r="D7" s="4" t="inlineStr">
        <is>
          <t>maior concentracao: SP, DF, RJ, RS</t>
        </is>
      </c>
    </row>
    <row r="8">
      <c r="A8" s="4" t="inlineStr">
        <is>
          <t>Valor mensal SaaS por concessionaria</t>
        </is>
      </c>
      <c r="B8" s="7" t="n">
        <v>800</v>
      </c>
      <c r="C8" s="4" t="inlineStr">
        <is>
          <t>R$/mes</t>
        </is>
      </c>
      <c r="D8" s="4" t="inlineStr">
        <is>
          <t>linha de receita 1</t>
        </is>
      </c>
    </row>
    <row r="9">
      <c r="A9" s="4" t="inlineStr">
        <is>
          <t>Valor mensal por totem publico (itinerante)</t>
        </is>
      </c>
      <c r="B9" s="7" t="n">
        <v>1500</v>
      </c>
      <c r="C9" s="4" t="inlineStr">
        <is>
          <t>R$/mes</t>
        </is>
      </c>
      <c r="D9" s="4" t="inlineStr">
        <is>
          <t>shoppings, aeroportos, eventos</t>
        </is>
      </c>
    </row>
    <row r="10">
      <c r="A10" s="4" t="inlineStr">
        <is>
          <t>Valor por lead qualificado</t>
        </is>
      </c>
      <c r="B10" s="7" t="n">
        <v>25</v>
      </c>
      <c r="C10" s="4" t="inlineStr">
        <is>
          <t>R$/lead</t>
        </is>
      </c>
      <c r="D10" s="4" t="inlineStr">
        <is>
          <t>linha de receita 2</t>
        </is>
      </c>
    </row>
    <row r="11">
      <c r="A11" s="4" t="inlineStr">
        <is>
          <t>Valor da instalacao solar por kit (com imposto)</t>
        </is>
      </c>
      <c r="B11" s="7" t="n">
        <v>2200</v>
      </c>
      <c r="C11" s="4" t="inlineStr">
        <is>
          <t>R$/kit</t>
        </is>
      </c>
      <c r="D11" s="4" t="inlineStr">
        <is>
          <t>kit: 4 paineis + 1 microinversor (~2,2 kWp)</t>
        </is>
      </c>
    </row>
    <row r="12">
      <c r="A12" s="4" t="inlineStr">
        <is>
          <t>Carga tributaria embutida na instalacao</t>
        </is>
      </c>
      <c r="B12" s="6" t="n">
        <v>0.15</v>
      </c>
      <c r="C12" s="4" t="inlineStr">
        <is>
          <t>%</t>
        </is>
      </c>
      <c r="D12" s="4" t="inlineStr">
        <is>
          <t>imposto incluso no valor do kit</t>
        </is>
      </c>
    </row>
    <row r="13">
      <c r="A13" s="4" t="inlineStr">
        <is>
          <t>Custo repassado ao instalador credenciado por kit</t>
        </is>
      </c>
      <c r="B13" s="7" t="n">
        <v>1500</v>
      </c>
      <c r="C13" s="4" t="inlineStr">
        <is>
          <t>R$/kit</t>
        </is>
      </c>
      <c r="D13" s="4" t="inlineStr">
        <is>
          <t>repasse ao instalador acreditado</t>
        </is>
      </c>
    </row>
    <row r="14">
      <c r="A14" s="4" t="inlineStr">
        <is>
          <t>% adesao a instalacao solar — cenario conservador</t>
        </is>
      </c>
      <c r="B14" s="6" t="n">
        <v>0.5</v>
      </c>
      <c r="C14" s="4" t="inlineStr">
        <is>
          <t>%</t>
        </is>
      </c>
      <c r="D14" s="4" t="inlineStr">
        <is>
          <t>cenario 1 de 3</t>
        </is>
      </c>
    </row>
    <row r="15">
      <c r="A15" s="4" t="inlineStr">
        <is>
          <t>% adesao a instalacao solar — cenario realista</t>
        </is>
      </c>
      <c r="B15" s="6" t="n">
        <v>0.65</v>
      </c>
      <c r="C15" s="4" t="inlineStr">
        <is>
          <t>%</t>
        </is>
      </c>
      <c r="D15" s="4" t="inlineStr">
        <is>
          <t>cenario 2 de 3</t>
        </is>
      </c>
    </row>
    <row r="16">
      <c r="A16" s="4" t="inlineStr">
        <is>
          <t>% adesao a instalacao solar — cenario agressivo</t>
        </is>
      </c>
      <c r="B16" s="6" t="n">
        <v>0.75</v>
      </c>
      <c r="C16" s="4" t="inlineStr">
        <is>
          <t>%</t>
        </is>
      </c>
      <c r="D16" s="4" t="inlineStr">
        <is>
          <t>cenario 3 de 3</t>
        </is>
      </c>
    </row>
    <row r="17">
      <c r="A17" s="4" t="inlineStr">
        <is>
          <t>Taxa de plataforma de gestao mensal (BYD central)</t>
        </is>
      </c>
      <c r="B17" s="7" t="n">
        <v>20000</v>
      </c>
      <c r="C17" s="4" t="inlineStr">
        <is>
          <t>R$/mes</t>
        </is>
      </c>
      <c r="D17" s="4" t="inlineStr">
        <is>
          <t>linha de receita 5</t>
        </is>
      </c>
    </row>
    <row r="18">
      <c r="A18" s="4" t="inlineStr">
        <is>
          <t>Leads gerados por totem por mes</t>
        </is>
      </c>
      <c r="B18" s="5" t="n">
        <v>150</v>
      </c>
      <c r="C18" s="4" t="inlineStr">
        <is>
          <t>leads/totem/mes</t>
        </is>
      </c>
      <c r="D18" s="4" t="inlineStr">
        <is>
          <t>estimativa para calculo da linha de receita 2</t>
        </is>
      </c>
    </row>
    <row r="20">
      <c r="A20" s="8" t="inlineStr">
        <is>
          <t>Premissas de custos (DRE)</t>
        </is>
      </c>
    </row>
    <row r="21">
      <c r="A21" s="4" t="inlineStr">
        <is>
          <t>Custo de infraestrutura/hospedagem do SaaS (% da receita SaaS)</t>
        </is>
      </c>
      <c r="B21" s="6" t="n">
        <v>0.05</v>
      </c>
      <c r="C21" s="4" t="inlineStr">
        <is>
          <t>%</t>
        </is>
      </c>
      <c r="D21" s="4" t="inlineStr">
        <is>
          <t>servidores, cloud, manutencao de software</t>
        </is>
      </c>
    </row>
    <row r="22">
      <c r="A22" s="4" t="inlineStr">
        <is>
          <t>Custo de manutencao por totem (R$/totem/mes)</t>
        </is>
      </c>
      <c r="B22" s="7" t="n">
        <v>150</v>
      </c>
      <c r="C22" s="4" t="inlineStr">
        <is>
          <t>R$/totem/mes</t>
        </is>
      </c>
      <c r="D22" s="4" t="inlineStr">
        <is>
          <t>manutencao fisica e suporte tecnico</t>
        </is>
      </c>
    </row>
    <row r="23">
      <c r="A23" s="4" t="inlineStr">
        <is>
          <t>Custo de equipe de coordenacao (mensal)</t>
        </is>
      </c>
      <c r="B23" s="7" t="n">
        <v>30000</v>
      </c>
      <c r="C23" s="4" t="inlineStr">
        <is>
          <t>R$/mes</t>
        </is>
      </c>
      <c r="D23" s="4" t="inlineStr">
        <is>
          <t>equipe interna de operacao e parcerias</t>
        </is>
      </c>
    </row>
    <row r="24">
      <c r="A24" s="4" t="inlineStr">
        <is>
          <t>Impostos sobre receita de servicos (% da receita bruta)</t>
        </is>
      </c>
      <c r="B24" s="6" t="n">
        <v>0.08</v>
      </c>
      <c r="C24" s="4" t="inlineStr">
        <is>
          <t>%</t>
        </is>
      </c>
      <c r="D24" s="4" t="inlineStr">
        <is>
          <t>ISS/PIS/COFINS sobre servicos prestados</t>
        </is>
      </c>
    </row>
    <row r="25">
      <c r="A25" s="4" t="inlineStr">
        <is>
          <t>Marketing e aquisicao (% da receita bruta)</t>
        </is>
      </c>
      <c r="B25" s="6" t="n">
        <v>0.04</v>
      </c>
      <c r="C25" s="4" t="inlineStr">
        <is>
          <t>%</t>
        </is>
      </c>
      <c r="D25" s="4" t="inlineStr">
        <is>
          <t>campanhas, eventos, materiais</t>
        </is>
      </c>
    </row>
    <row r="28">
      <c r="A28" s="9" t="inlineStr">
        <is>
          <t>Projecao baseada em dados publicos de mercado (Fenabrave/BYD 2025). Adesao e distribuicao por estado sao estimativas a validar em piloto.</t>
        </is>
      </c>
    </row>
  </sheetData>
  <mergeCells count="2">
    <mergeCell ref="A1:D1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4" customWidth="1" min="4" max="4"/>
    <col width="16" customWidth="1" min="5" max="5"/>
    <col width="14" customWidth="1" min="6" max="6"/>
    <col width="22" customWidth="1" min="7" max="7"/>
    <col width="22" customWidth="1" min="8" max="8"/>
  </cols>
  <sheetData>
    <row r="1" ht="24" customHeight="1">
      <c r="A1" s="1" t="inlineStr">
        <is>
          <t>DISTRIBUICAO DE CONCESSIONARIAS E TOTENS POR ESTADO</t>
        </is>
      </c>
    </row>
    <row r="3">
      <c r="A3" s="3" t="inlineStr">
        <is>
          <t>Estado</t>
        </is>
      </c>
      <c r="B3" s="3" t="inlineStr">
        <is>
          <t>% estimado de mercado BYD</t>
        </is>
      </c>
      <c r="C3" s="3" t="inlineStr">
        <is>
          <t>Nº de concessionarias (estimado)</t>
        </is>
      </c>
      <c r="D3" s="3" t="inlineStr">
        <is>
          <t>Totens em concessionaria</t>
        </is>
      </c>
      <c r="E3" s="3" t="inlineStr">
        <is>
          <t>Totens itinerantes (estimado)</t>
        </is>
      </c>
      <c r="F3" s="3" t="inlineStr">
        <is>
          <t>Total de totens no estado</t>
        </is>
      </c>
      <c r="G3" s="3" t="inlineStr">
        <is>
          <t>Receita SaaS concessionarias/mes (R$)</t>
        </is>
      </c>
      <c r="H3" s="3" t="inlineStr">
        <is>
          <t>Receita totens itinerantes/mes (R$)</t>
        </is>
      </c>
    </row>
    <row r="4">
      <c r="A4" s="4" t="inlineStr">
        <is>
          <t>Sao Paulo</t>
        </is>
      </c>
      <c r="B4" s="6" t="n">
        <v>0.2</v>
      </c>
      <c r="C4" s="10">
        <f>ROUND(Premissas!$B$4*B4,0)</f>
        <v/>
      </c>
      <c r="D4" s="10">
        <f>C4</f>
        <v/>
      </c>
      <c r="E4" s="10">
        <f>ROUND(C4/3,0)</f>
        <v/>
      </c>
      <c r="F4" s="10">
        <f>D4+E4</f>
        <v/>
      </c>
      <c r="G4" s="11">
        <f>C4*Premissas!$B$8</f>
        <v/>
      </c>
      <c r="H4" s="11">
        <f>E4*Premissas!$B$9</f>
        <v/>
      </c>
    </row>
    <row r="5">
      <c r="A5" s="4" t="inlineStr">
        <is>
          <t>Rio de Janeiro</t>
        </is>
      </c>
      <c r="B5" s="6" t="n">
        <v>0.09</v>
      </c>
      <c r="C5" s="10">
        <f>ROUND(Premissas!$B$4*B5,0)</f>
        <v/>
      </c>
      <c r="D5" s="10">
        <f>C5</f>
        <v/>
      </c>
      <c r="E5" s="10">
        <f>ROUND(C5/3,0)</f>
        <v/>
      </c>
      <c r="F5" s="10">
        <f>D5+E5</f>
        <v/>
      </c>
      <c r="G5" s="11">
        <f>C5*Premissas!$B$8</f>
        <v/>
      </c>
      <c r="H5" s="11">
        <f>E5*Premissas!$B$9</f>
        <v/>
      </c>
    </row>
    <row r="6">
      <c r="A6" s="4" t="inlineStr">
        <is>
          <t>Minas Gerais</t>
        </is>
      </c>
      <c r="B6" s="6" t="n">
        <v>0.08</v>
      </c>
      <c r="C6" s="10">
        <f>ROUND(Premissas!$B$4*B6,0)</f>
        <v/>
      </c>
      <c r="D6" s="10">
        <f>C6</f>
        <v/>
      </c>
      <c r="E6" s="10">
        <f>ROUND(C6/3,0)</f>
        <v/>
      </c>
      <c r="F6" s="10">
        <f>D6+E6</f>
        <v/>
      </c>
      <c r="G6" s="11">
        <f>C6*Premissas!$B$8</f>
        <v/>
      </c>
      <c r="H6" s="11">
        <f>E6*Premissas!$B$9</f>
        <v/>
      </c>
    </row>
    <row r="7">
      <c r="A7" s="4" t="inlineStr">
        <is>
          <t>Parana</t>
        </is>
      </c>
      <c r="B7" s="6" t="n">
        <v>0.08</v>
      </c>
      <c r="C7" s="10">
        <f>ROUND(Premissas!$B$4*B7,0)</f>
        <v/>
      </c>
      <c r="D7" s="10">
        <f>C7</f>
        <v/>
      </c>
      <c r="E7" s="10">
        <f>ROUND(C7/3,0)</f>
        <v/>
      </c>
      <c r="F7" s="10">
        <f>D7+E7</f>
        <v/>
      </c>
      <c r="G7" s="11">
        <f>C7*Premissas!$B$8</f>
        <v/>
      </c>
      <c r="H7" s="11">
        <f>E7*Premissas!$B$9</f>
        <v/>
      </c>
    </row>
    <row r="8">
      <c r="A8" s="4" t="inlineStr">
        <is>
          <t>Rio Grande do Sul</t>
        </is>
      </c>
      <c r="B8" s="6" t="n">
        <v>0.08</v>
      </c>
      <c r="C8" s="10">
        <f>ROUND(Premissas!$B$4*B8,0)</f>
        <v/>
      </c>
      <c r="D8" s="10">
        <f>C8</f>
        <v/>
      </c>
      <c r="E8" s="10">
        <f>ROUND(C8/3,0)</f>
        <v/>
      </c>
      <c r="F8" s="10">
        <f>D8+E8</f>
        <v/>
      </c>
      <c r="G8" s="11">
        <f>C8*Premissas!$B$8</f>
        <v/>
      </c>
      <c r="H8" s="11">
        <f>E8*Premissas!$B$9</f>
        <v/>
      </c>
    </row>
    <row r="9">
      <c r="A9" s="4" t="inlineStr">
        <is>
          <t>Distrito Federal</t>
        </is>
      </c>
      <c r="B9" s="6" t="n">
        <v>0.06</v>
      </c>
      <c r="C9" s="10">
        <f>ROUND(Premissas!$B$4*B9,0)</f>
        <v/>
      </c>
      <c r="D9" s="10">
        <f>C9</f>
        <v/>
      </c>
      <c r="E9" s="10">
        <f>ROUND(C9/3,0)</f>
        <v/>
      </c>
      <c r="F9" s="10">
        <f>D9+E9</f>
        <v/>
      </c>
      <c r="G9" s="11">
        <f>C9*Premissas!$B$8</f>
        <v/>
      </c>
      <c r="H9" s="11">
        <f>E9*Premissas!$B$9</f>
        <v/>
      </c>
    </row>
    <row r="10">
      <c r="A10" s="4" t="inlineStr">
        <is>
          <t>Bahia</t>
        </is>
      </c>
      <c r="B10" s="6" t="n">
        <v>0.06</v>
      </c>
      <c r="C10" s="10">
        <f>ROUND(Premissas!$B$4*B10,0)</f>
        <v/>
      </c>
      <c r="D10" s="10">
        <f>C10</f>
        <v/>
      </c>
      <c r="E10" s="10">
        <f>ROUND(C10/3,0)</f>
        <v/>
      </c>
      <c r="F10" s="10">
        <f>D10+E10</f>
        <v/>
      </c>
      <c r="G10" s="11">
        <f>C10*Premissas!$B$8</f>
        <v/>
      </c>
      <c r="H10" s="11">
        <f>E10*Premissas!$B$9</f>
        <v/>
      </c>
    </row>
    <row r="11">
      <c r="A11" s="4" t="inlineStr">
        <is>
          <t>Santa Catarina</t>
        </is>
      </c>
      <c r="B11" s="6" t="n">
        <v>0.05</v>
      </c>
      <c r="C11" s="10">
        <f>ROUND(Premissas!$B$4*B11,0)</f>
        <v/>
      </c>
      <c r="D11" s="10">
        <f>C11</f>
        <v/>
      </c>
      <c r="E11" s="10">
        <f>ROUND(C11/3,0)</f>
        <v/>
      </c>
      <c r="F11" s="10">
        <f>D11+E11</f>
        <v/>
      </c>
      <c r="G11" s="11">
        <f>C11*Premissas!$B$8</f>
        <v/>
      </c>
      <c r="H11" s="11">
        <f>E11*Premissas!$B$9</f>
        <v/>
      </c>
    </row>
    <row r="12">
      <c r="A12" s="4" t="inlineStr">
        <is>
          <t>Goias</t>
        </is>
      </c>
      <c r="B12" s="6" t="n">
        <v>0.04</v>
      </c>
      <c r="C12" s="10">
        <f>ROUND(Premissas!$B$4*B12,0)</f>
        <v/>
      </c>
      <c r="D12" s="10">
        <f>C12</f>
        <v/>
      </c>
      <c r="E12" s="10">
        <f>ROUND(C12/3,0)</f>
        <v/>
      </c>
      <c r="F12" s="10">
        <f>D12+E12</f>
        <v/>
      </c>
      <c r="G12" s="11">
        <f>C12*Premissas!$B$8</f>
        <v/>
      </c>
      <c r="H12" s="11">
        <f>E12*Premissas!$B$9</f>
        <v/>
      </c>
    </row>
    <row r="13">
      <c r="A13" s="4" t="inlineStr">
        <is>
          <t>Pernambuco</t>
        </is>
      </c>
      <c r="B13" s="6" t="n">
        <v>0.04</v>
      </c>
      <c r="C13" s="10">
        <f>ROUND(Premissas!$B$4*B13,0)</f>
        <v/>
      </c>
      <c r="D13" s="10">
        <f>C13</f>
        <v/>
      </c>
      <c r="E13" s="10">
        <f>ROUND(C13/3,0)</f>
        <v/>
      </c>
      <c r="F13" s="10">
        <f>D13+E13</f>
        <v/>
      </c>
      <c r="G13" s="11">
        <f>C13*Premissas!$B$8</f>
        <v/>
      </c>
      <c r="H13" s="11">
        <f>E13*Premissas!$B$9</f>
        <v/>
      </c>
    </row>
    <row r="14">
      <c r="A14" s="4" t="inlineStr">
        <is>
          <t>Ceara</t>
        </is>
      </c>
      <c r="B14" s="6" t="n">
        <v>0.02</v>
      </c>
      <c r="C14" s="10">
        <f>ROUND(Premissas!$B$4*B14,0)</f>
        <v/>
      </c>
      <c r="D14" s="10">
        <f>C14</f>
        <v/>
      </c>
      <c r="E14" s="10">
        <f>ROUND(C14/3,0)</f>
        <v/>
      </c>
      <c r="F14" s="10">
        <f>D14+E14</f>
        <v/>
      </c>
      <c r="G14" s="11">
        <f>C14*Premissas!$B$8</f>
        <v/>
      </c>
      <c r="H14" s="11">
        <f>E14*Premissas!$B$9</f>
        <v/>
      </c>
    </row>
    <row r="15">
      <c r="A15" s="4" t="inlineStr">
        <is>
          <t>Espirito Santo</t>
        </is>
      </c>
      <c r="B15" s="6" t="n">
        <v>0.02</v>
      </c>
      <c r="C15" s="10">
        <f>ROUND(Premissas!$B$4*B15,0)</f>
        <v/>
      </c>
      <c r="D15" s="10">
        <f>C15</f>
        <v/>
      </c>
      <c r="E15" s="10">
        <f>ROUND(C15/3,0)</f>
        <v/>
      </c>
      <c r="F15" s="10">
        <f>D15+E15</f>
        <v/>
      </c>
      <c r="G15" s="11">
        <f>C15*Premissas!$B$8</f>
        <v/>
      </c>
      <c r="H15" s="11">
        <f>E15*Premissas!$B$9</f>
        <v/>
      </c>
    </row>
    <row r="16">
      <c r="A16" s="4" t="inlineStr">
        <is>
          <t>Para</t>
        </is>
      </c>
      <c r="B16" s="6" t="n">
        <v>0.01</v>
      </c>
      <c r="C16" s="10">
        <f>ROUND(Premissas!$B$4*B16,0)</f>
        <v/>
      </c>
      <c r="D16" s="10">
        <f>C16</f>
        <v/>
      </c>
      <c r="E16" s="10">
        <f>ROUND(C16/3,0)</f>
        <v/>
      </c>
      <c r="F16" s="10">
        <f>D16+E16</f>
        <v/>
      </c>
      <c r="G16" s="11">
        <f>C16*Premissas!$B$8</f>
        <v/>
      </c>
      <c r="H16" s="11">
        <f>E16*Premissas!$B$9</f>
        <v/>
      </c>
    </row>
    <row r="17">
      <c r="A17" s="4" t="inlineStr">
        <is>
          <t>Amazonas</t>
        </is>
      </c>
      <c r="B17" s="6" t="n">
        <v>0.02</v>
      </c>
      <c r="C17" s="10">
        <f>ROUND(Premissas!$B$4*B17,0)</f>
        <v/>
      </c>
      <c r="D17" s="10">
        <f>C17</f>
        <v/>
      </c>
      <c r="E17" s="10">
        <f>ROUND(C17/3,0)</f>
        <v/>
      </c>
      <c r="F17" s="10">
        <f>D17+E17</f>
        <v/>
      </c>
      <c r="G17" s="11">
        <f>C17*Premissas!$B$8</f>
        <v/>
      </c>
      <c r="H17" s="11">
        <f>E17*Premissas!$B$9</f>
        <v/>
      </c>
    </row>
    <row r="18">
      <c r="A18" s="4" t="inlineStr">
        <is>
          <t>Mato Grosso</t>
        </is>
      </c>
      <c r="B18" s="6" t="n">
        <v>0.02</v>
      </c>
      <c r="C18" s="10">
        <f>ROUND(Premissas!$B$4*B18,0)</f>
        <v/>
      </c>
      <c r="D18" s="10">
        <f>C18</f>
        <v/>
      </c>
      <c r="E18" s="10">
        <f>ROUND(C18/3,0)</f>
        <v/>
      </c>
      <c r="F18" s="10">
        <f>D18+E18</f>
        <v/>
      </c>
      <c r="G18" s="11">
        <f>C18*Premissas!$B$8</f>
        <v/>
      </c>
      <c r="H18" s="11">
        <f>E18*Premissas!$B$9</f>
        <v/>
      </c>
    </row>
    <row r="19">
      <c r="A19" s="4" t="inlineStr">
        <is>
          <t>Mato Grosso do Sul</t>
        </is>
      </c>
      <c r="B19" s="6" t="n">
        <v>0.02</v>
      </c>
      <c r="C19" s="10">
        <f>ROUND(Premissas!$B$4*B19,0)</f>
        <v/>
      </c>
      <c r="D19" s="10">
        <f>C19</f>
        <v/>
      </c>
      <c r="E19" s="10">
        <f>ROUND(C19/3,0)</f>
        <v/>
      </c>
      <c r="F19" s="10">
        <f>D19+E19</f>
        <v/>
      </c>
      <c r="G19" s="11">
        <f>C19*Premissas!$B$8</f>
        <v/>
      </c>
      <c r="H19" s="11">
        <f>E19*Premissas!$B$9</f>
        <v/>
      </c>
    </row>
    <row r="20">
      <c r="A20" s="4" t="inlineStr">
        <is>
          <t>Paraiba</t>
        </is>
      </c>
      <c r="B20" s="6" t="n">
        <v>0.01</v>
      </c>
      <c r="C20" s="10">
        <f>ROUND(Premissas!$B$4*B20,0)</f>
        <v/>
      </c>
      <c r="D20" s="10">
        <f>C20</f>
        <v/>
      </c>
      <c r="E20" s="10">
        <f>ROUND(C20/3,0)</f>
        <v/>
      </c>
      <c r="F20" s="10">
        <f>D20+E20</f>
        <v/>
      </c>
      <c r="G20" s="11">
        <f>C20*Premissas!$B$8</f>
        <v/>
      </c>
      <c r="H20" s="11">
        <f>E20*Premissas!$B$9</f>
        <v/>
      </c>
    </row>
    <row r="21">
      <c r="A21" s="4" t="inlineStr">
        <is>
          <t>Rio Grande do Norte</t>
        </is>
      </c>
      <c r="B21" s="6" t="n">
        <v>0.01</v>
      </c>
      <c r="C21" s="10">
        <f>ROUND(Premissas!$B$4*B21,0)</f>
        <v/>
      </c>
      <c r="D21" s="10">
        <f>C21</f>
        <v/>
      </c>
      <c r="E21" s="10">
        <f>ROUND(C21/3,0)</f>
        <v/>
      </c>
      <c r="F21" s="10">
        <f>D21+E21</f>
        <v/>
      </c>
      <c r="G21" s="11">
        <f>C21*Premissas!$B$8</f>
        <v/>
      </c>
      <c r="H21" s="11">
        <f>E21*Premissas!$B$9</f>
        <v/>
      </c>
    </row>
    <row r="22">
      <c r="A22" s="4" t="inlineStr">
        <is>
          <t>Alagoas</t>
        </is>
      </c>
      <c r="B22" s="6" t="n">
        <v>0.01</v>
      </c>
      <c r="C22" s="10">
        <f>ROUND(Premissas!$B$4*B22,0)</f>
        <v/>
      </c>
      <c r="D22" s="10">
        <f>C22</f>
        <v/>
      </c>
      <c r="E22" s="10">
        <f>ROUND(C22/3,0)</f>
        <v/>
      </c>
      <c r="F22" s="10">
        <f>D22+E22</f>
        <v/>
      </c>
      <c r="G22" s="11">
        <f>C22*Premissas!$B$8</f>
        <v/>
      </c>
      <c r="H22" s="11">
        <f>E22*Premissas!$B$9</f>
        <v/>
      </c>
    </row>
    <row r="23">
      <c r="A23" s="4" t="inlineStr">
        <is>
          <t>Sergipe</t>
        </is>
      </c>
      <c r="B23" s="6" t="n">
        <v>0.01</v>
      </c>
      <c r="C23" s="10">
        <f>ROUND(Premissas!$B$4*B23,0)</f>
        <v/>
      </c>
      <c r="D23" s="10">
        <f>C23</f>
        <v/>
      </c>
      <c r="E23" s="10">
        <f>ROUND(C23/3,0)</f>
        <v/>
      </c>
      <c r="F23" s="10">
        <f>D23+E23</f>
        <v/>
      </c>
      <c r="G23" s="11">
        <f>C23*Premissas!$B$8</f>
        <v/>
      </c>
      <c r="H23" s="11">
        <f>E23*Premissas!$B$9</f>
        <v/>
      </c>
    </row>
    <row r="24">
      <c r="A24" s="4" t="inlineStr">
        <is>
          <t>Maranhao</t>
        </is>
      </c>
      <c r="B24" s="6" t="n">
        <v>0.01</v>
      </c>
      <c r="C24" s="10">
        <f>ROUND(Premissas!$B$4*B24,0)</f>
        <v/>
      </c>
      <c r="D24" s="10">
        <f>C24</f>
        <v/>
      </c>
      <c r="E24" s="10">
        <f>ROUND(C24/3,0)</f>
        <v/>
      </c>
      <c r="F24" s="10">
        <f>D24+E24</f>
        <v/>
      </c>
      <c r="G24" s="11">
        <f>C24*Premissas!$B$8</f>
        <v/>
      </c>
      <c r="H24" s="11">
        <f>E24*Premissas!$B$9</f>
        <v/>
      </c>
    </row>
    <row r="25">
      <c r="A25" s="4" t="inlineStr">
        <is>
          <t>Piaui</t>
        </is>
      </c>
      <c r="B25" s="6" t="n">
        <v>0.01</v>
      </c>
      <c r="C25" s="10">
        <f>ROUND(Premissas!$B$4*B25,0)</f>
        <v/>
      </c>
      <c r="D25" s="10">
        <f>C25</f>
        <v/>
      </c>
      <c r="E25" s="10">
        <f>ROUND(C25/3,0)</f>
        <v/>
      </c>
      <c r="F25" s="10">
        <f>D25+E25</f>
        <v/>
      </c>
      <c r="G25" s="11">
        <f>C25*Premissas!$B$8</f>
        <v/>
      </c>
      <c r="H25" s="11">
        <f>E25*Premissas!$B$9</f>
        <v/>
      </c>
    </row>
    <row r="26">
      <c r="A26" s="4" t="inlineStr">
        <is>
          <t>Tocantins</t>
        </is>
      </c>
      <c r="B26" s="6" t="n">
        <v>0.01</v>
      </c>
      <c r="C26" s="10">
        <f>ROUND(Premissas!$B$4*B26,0)</f>
        <v/>
      </c>
      <c r="D26" s="10">
        <f>C26</f>
        <v/>
      </c>
      <c r="E26" s="10">
        <f>ROUND(C26/3,0)</f>
        <v/>
      </c>
      <c r="F26" s="10">
        <f>D26+E26</f>
        <v/>
      </c>
      <c r="G26" s="11">
        <f>C26*Premissas!$B$8</f>
        <v/>
      </c>
      <c r="H26" s="11">
        <f>E26*Premissas!$B$9</f>
        <v/>
      </c>
    </row>
    <row r="27">
      <c r="A27" s="4" t="inlineStr">
        <is>
          <t>Rondonia</t>
        </is>
      </c>
      <c r="B27" s="6" t="n">
        <v>0.01</v>
      </c>
      <c r="C27" s="10">
        <f>ROUND(Premissas!$B$4*B27,0)</f>
        <v/>
      </c>
      <c r="D27" s="10">
        <f>C27</f>
        <v/>
      </c>
      <c r="E27" s="10">
        <f>ROUND(C27/3,0)</f>
        <v/>
      </c>
      <c r="F27" s="10">
        <f>D27+E27</f>
        <v/>
      </c>
      <c r="G27" s="11">
        <f>C27*Premissas!$B$8</f>
        <v/>
      </c>
      <c r="H27" s="11">
        <f>E27*Premissas!$B$9</f>
        <v/>
      </c>
    </row>
    <row r="28">
      <c r="A28" s="4" t="inlineStr">
        <is>
          <t>Acre</t>
        </is>
      </c>
      <c r="B28" s="6" t="n">
        <v>0.01</v>
      </c>
      <c r="C28" s="10">
        <f>ROUND(Premissas!$B$4*B28,0)</f>
        <v/>
      </c>
      <c r="D28" s="10">
        <f>C28</f>
        <v/>
      </c>
      <c r="E28" s="10">
        <f>ROUND(C28/3,0)</f>
        <v/>
      </c>
      <c r="F28" s="10">
        <f>D28+E28</f>
        <v/>
      </c>
      <c r="G28" s="11">
        <f>C28*Premissas!$B$8</f>
        <v/>
      </c>
      <c r="H28" s="11">
        <f>E28*Premissas!$B$9</f>
        <v/>
      </c>
    </row>
    <row r="29">
      <c r="A29" s="4" t="inlineStr">
        <is>
          <t>Roraima</t>
        </is>
      </c>
      <c r="B29" s="6" t="n">
        <v>0.01</v>
      </c>
      <c r="C29" s="10">
        <f>ROUND(Premissas!$B$4*B29,0)</f>
        <v/>
      </c>
      <c r="D29" s="10">
        <f>C29</f>
        <v/>
      </c>
      <c r="E29" s="10">
        <f>ROUND(C29/3,0)</f>
        <v/>
      </c>
      <c r="F29" s="10">
        <f>D29+E29</f>
        <v/>
      </c>
      <c r="G29" s="11">
        <f>C29*Premissas!$B$8</f>
        <v/>
      </c>
      <c r="H29" s="11">
        <f>E29*Premissas!$B$9</f>
        <v/>
      </c>
    </row>
    <row r="30">
      <c r="A30" s="4" t="inlineStr">
        <is>
          <t>Amapa</t>
        </is>
      </c>
      <c r="B30" s="6" t="n">
        <v>0.01</v>
      </c>
      <c r="C30" s="10">
        <f>ROUND(Premissas!$B$4*B30,0)</f>
        <v/>
      </c>
      <c r="D30" s="10">
        <f>C30</f>
        <v/>
      </c>
      <c r="E30" s="10">
        <f>ROUND(C30/3,0)</f>
        <v/>
      </c>
      <c r="F30" s="10">
        <f>D30+E30</f>
        <v/>
      </c>
      <c r="G30" s="11">
        <f>C30*Premissas!$B$8</f>
        <v/>
      </c>
      <c r="H30" s="11">
        <f>E30*Premissas!$B$9</f>
        <v/>
      </c>
    </row>
    <row r="31">
      <c r="A31" s="12" t="inlineStr">
        <is>
          <t>TOTAL</t>
        </is>
      </c>
      <c r="B31" s="13">
        <f>SUM(B4:B30)</f>
        <v/>
      </c>
      <c r="C31" s="14">
        <f>SUM(C4:C30)</f>
        <v/>
      </c>
      <c r="D31" s="14">
        <f>SUM(D4:D30)</f>
        <v/>
      </c>
      <c r="E31" s="14">
        <f>SUM(E4:E30)</f>
        <v/>
      </c>
      <c r="F31" s="14">
        <f>SUM(F4:F30)</f>
        <v/>
      </c>
      <c r="G31" s="15">
        <f>SUM(G4:G30)</f>
        <v/>
      </c>
      <c r="H31" s="15">
        <f>SUM(H4:H30)</f>
        <v/>
      </c>
    </row>
    <row r="33">
      <c r="A33" s="16" t="inlineStr">
        <is>
          <t>Nota: totens itinerantes circulam por shoppings, aeroportos e eventos de grande fluxo, ampliando a presenca da marca alem das concessionarias fixas.</t>
        </is>
      </c>
    </row>
    <row r="35">
      <c r="A35" s="9" t="inlineStr">
        <is>
          <t>Projecao baseada em dados publicos de mercado (Fenabrave/BYD 2025). Adesao e distribuicao por estado sao estimativas a validar em piloto.</t>
        </is>
      </c>
    </row>
  </sheetData>
  <mergeCells count="3">
    <mergeCell ref="A33:H33"/>
    <mergeCell ref="A35:H3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</cols>
  <sheetData>
    <row r="1" ht="24" customHeight="1">
      <c r="A1" s="1" t="inlineStr">
        <is>
          <t>INSTALACOES SOLARES — VOLUME E RENTABILIDADE (SAO PAULO)</t>
        </is>
      </c>
    </row>
    <row r="3">
      <c r="A3" s="4" t="inlineStr">
        <is>
          <t>BEVs vendidos/ano no Brasil</t>
        </is>
      </c>
      <c r="B3" s="10">
        <f>Premissas!$B$6</f>
        <v/>
      </c>
    </row>
    <row r="4">
      <c r="A4" s="4" t="inlineStr">
        <is>
          <t>% das vendas BEV concentradas em SP</t>
        </is>
      </c>
      <c r="B4" s="17">
        <f>Premissas!$B$7</f>
        <v/>
      </c>
    </row>
    <row r="5">
      <c r="A5" s="18" t="inlineStr">
        <is>
          <t>BEVs vendidos/ano em SP</t>
        </is>
      </c>
      <c r="B5" s="19">
        <f>B3*B4</f>
        <v/>
      </c>
    </row>
    <row r="7">
      <c r="A7" s="3" t="inlineStr">
        <is>
          <t>Indicador (cenarios de adesao a instalacao solar)</t>
        </is>
      </c>
      <c r="B7" s="3" t="inlineStr">
        <is>
          <t>Conservador (50%)</t>
        </is>
      </c>
      <c r="C7" s="3" t="inlineStr">
        <is>
          <t>Realista (65%)</t>
        </is>
      </c>
      <c r="D7" s="3" t="inlineStr">
        <is>
          <t>Agressivo (75%)</t>
        </is>
      </c>
    </row>
    <row r="8">
      <c r="A8" s="4" t="inlineStr">
        <is>
          <t>% de adesao a instalacao solar</t>
        </is>
      </c>
      <c r="B8" s="17">
        <f>Premissas!$B$14</f>
        <v/>
      </c>
      <c r="C8" s="17">
        <f>Premissas!$B$15</f>
        <v/>
      </c>
      <c r="D8" s="17">
        <f>Premissas!$B$16</f>
        <v/>
      </c>
    </row>
    <row r="9">
      <c r="A9" s="4" t="inlineStr">
        <is>
          <t>Instalacoes/ano</t>
        </is>
      </c>
      <c r="B9" s="10">
        <f>ROUND($B$5*B8,0)</f>
        <v/>
      </c>
      <c r="C9" s="10">
        <f>ROUND($B$5*C8,0)</f>
        <v/>
      </c>
      <c r="D9" s="10">
        <f>ROUND($B$5*D8,0)</f>
        <v/>
      </c>
    </row>
    <row r="10">
      <c r="A10" s="4" t="inlineStr">
        <is>
          <t>Instalacoes/mes</t>
        </is>
      </c>
      <c r="B10" s="10">
        <f>B9/12</f>
        <v/>
      </c>
      <c r="C10" s="10">
        <f>C9/12</f>
        <v/>
      </c>
      <c r="D10" s="10">
        <f>D9/12</f>
        <v/>
      </c>
    </row>
    <row r="11">
      <c r="A11" s="4" t="inlineStr">
        <is>
          <t>Receita bruta de instalacao (R$/ano)</t>
        </is>
      </c>
      <c r="B11" s="11">
        <f>B9*Premissas!$B$11</f>
        <v/>
      </c>
      <c r="C11" s="11">
        <f>C9*Premissas!$B$11</f>
        <v/>
      </c>
      <c r="D11" s="11">
        <f>D9*Premissas!$B$11</f>
        <v/>
      </c>
    </row>
    <row r="12">
      <c r="A12" s="4" t="inlineStr">
        <is>
          <t>Imposto embutido na instalacao (R$/ano)</t>
        </is>
      </c>
      <c r="B12" s="11">
        <f>B9*Premissas!$B$11*Premissas!$B$12</f>
        <v/>
      </c>
      <c r="C12" s="11">
        <f>C9*Premissas!$B$11*Premissas!$B$12</f>
        <v/>
      </c>
      <c r="D12" s="11">
        <f>D9*Premissas!$B$11*Premissas!$B$12</f>
        <v/>
      </c>
    </row>
    <row r="13">
      <c r="A13" s="4" t="inlineStr">
        <is>
          <t>Custo repassado ao instalador (R$/ano)</t>
        </is>
      </c>
      <c r="B13" s="11">
        <f>B9*Premissas!$B$13</f>
        <v/>
      </c>
      <c r="C13" s="11">
        <f>C9*Premissas!$B$13</f>
        <v/>
      </c>
      <c r="D13" s="11">
        <f>D9*Premissas!$B$13</f>
        <v/>
      </c>
    </row>
    <row r="14">
      <c r="A14" s="4" t="inlineStr">
        <is>
          <t>Margem liquida por kit (R$)</t>
        </is>
      </c>
      <c r="B14" s="11">
        <f>Premissas!$B$11-(Premissas!$B$11*Premissas!$B$12)-Premissas!$B$13</f>
        <v/>
      </c>
      <c r="C14" s="11">
        <f>Premissas!$B$11-(Premissas!$B$11*Premissas!$B$12)-Premissas!$B$13</f>
        <v/>
      </c>
      <c r="D14" s="11">
        <f>Premissas!$B$11-(Premissas!$B$11*Premissas!$B$12)-Premissas!$B$13</f>
        <v/>
      </c>
    </row>
    <row r="15">
      <c r="A15" s="4" t="inlineStr">
        <is>
          <t>Receita liquida total no cenario (R$/ano)</t>
        </is>
      </c>
      <c r="B15" s="20">
        <f>B9*B14</f>
        <v/>
      </c>
      <c r="C15" s="20">
        <f>C9*C14</f>
        <v/>
      </c>
      <c r="D15" s="20">
        <f>D9*D14</f>
        <v/>
      </c>
    </row>
    <row r="18">
      <c r="A18" s="9" t="inlineStr">
        <is>
          <t>Projecao baseada em dados publicos de mercado (Fenabrave/BYD 2025). Adesao e distribuicao por estado sao estimativas a validar em piloto.</t>
        </is>
      </c>
    </row>
  </sheetData>
  <mergeCells count="2">
    <mergeCell ref="A1:D1"/>
    <mergeCell ref="A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</cols>
  <sheetData>
    <row r="1" ht="24" customHeight="1">
      <c r="A1" s="1" t="inlineStr">
        <is>
          <t>RECEITA CONSOLIDADA — DRE SIMPLIFICADO ANUAL (3 CENARIOS)</t>
        </is>
      </c>
    </row>
    <row r="3">
      <c r="A3" s="3" t="inlineStr">
        <is>
          <t>Linha</t>
        </is>
      </c>
      <c r="B3" s="3" t="inlineStr">
        <is>
          <t>Conservador (adesao 50%)</t>
        </is>
      </c>
      <c r="C3" s="3" t="inlineStr">
        <is>
          <t>Realista (adesao 65%)</t>
        </is>
      </c>
      <c r="D3" s="3" t="inlineStr">
        <is>
          <t>Agressivo (adesao 75%)</t>
        </is>
      </c>
    </row>
    <row r="4">
      <c r="A4" t="inlineStr">
        <is>
          <t>1. Receita SaaS concessionarias (anual)</t>
        </is>
      </c>
      <c r="B4" s="11">
        <f>'Concessionarias e Totens'!$C$31*Premissas!$B$8*12</f>
        <v/>
      </c>
      <c r="C4" s="11">
        <f>$B4</f>
        <v/>
      </c>
      <c r="D4" s="11">
        <f>$B4</f>
        <v/>
      </c>
    </row>
    <row r="5">
      <c r="A5" t="inlineStr">
        <is>
          <t>2. Receita SaaS totens itinerantes (anual)</t>
        </is>
      </c>
      <c r="B5" s="11">
        <f>'Concessionarias e Totens'!$E$31*Premissas!$B$9*12</f>
        <v/>
      </c>
      <c r="C5" s="11">
        <f>$B5</f>
        <v/>
      </c>
      <c r="D5" s="11">
        <f>$B5</f>
        <v/>
      </c>
    </row>
    <row r="6">
      <c r="A6" t="inlineStr">
        <is>
          <t>3. Receita por taxa de leads (anual)</t>
        </is>
      </c>
      <c r="B6" s="11">
        <f>'Concessionarias e Totens'!$F$31*Premissas!$B$18*12*Premissas!$B$10</f>
        <v/>
      </c>
      <c r="C6" s="11">
        <f>$B6</f>
        <v/>
      </c>
      <c r="D6" s="11">
        <f>$B6</f>
        <v/>
      </c>
    </row>
    <row r="7">
      <c r="A7" t="inlineStr">
        <is>
          <t>4. Margem liquida instalacoes solares (anual)</t>
        </is>
      </c>
      <c r="B7" s="11">
        <f>'Instalacoes Solares (SP)'!$B$15</f>
        <v/>
      </c>
      <c r="C7" s="11">
        <f>'Instalacoes Solares (SP)'!$C$15</f>
        <v/>
      </c>
      <c r="D7" s="11">
        <f>'Instalacoes Solares (SP)'!$D$15</f>
        <v/>
      </c>
    </row>
    <row r="8">
      <c r="A8" t="inlineStr">
        <is>
          <t>5. Receita taxa de plataforma de gestao (anual)</t>
        </is>
      </c>
      <c r="B8" s="11">
        <f>Premissas!$B$17*12</f>
        <v/>
      </c>
      <c r="C8" s="11">
        <f>$B8</f>
        <v/>
      </c>
      <c r="D8" s="11">
        <f>$B8</f>
        <v/>
      </c>
    </row>
    <row r="9">
      <c r="A9" t="inlineStr">
        <is>
          <t>RECEITA BRUTA TOTAL</t>
        </is>
      </c>
      <c r="B9" s="15">
        <f>SUM(B4:B8)</f>
        <v/>
      </c>
      <c r="C9" s="15">
        <f>SUM(C4:C8)</f>
        <v/>
      </c>
      <c r="D9" s="15">
        <f>SUM(D4:D8)</f>
        <v/>
      </c>
    </row>
    <row r="10">
      <c r="A10" t="inlineStr"/>
    </row>
    <row r="11">
      <c r="A11" t="inlineStr">
        <is>
          <t>Custo: infraestrutura/hospedagem SaaS</t>
        </is>
      </c>
      <c r="B11" s="11">
        <f>Premissas!$B$21*(B4+B5)</f>
        <v/>
      </c>
      <c r="C11" s="11">
        <f>Premissas!$B$21*(C4+C5)</f>
        <v/>
      </c>
      <c r="D11" s="11">
        <f>Premissas!$B$21*(D4+D5)</f>
        <v/>
      </c>
    </row>
    <row r="12">
      <c r="A12" t="inlineStr">
        <is>
          <t>Custo: manutencao de totens</t>
        </is>
      </c>
      <c r="B12" s="11">
        <f>'Concessionarias e Totens'!$F$31*Premissas!$B$22*12</f>
        <v/>
      </c>
      <c r="C12" s="11">
        <f>'Concessionarias e Totens'!$F$31*Premissas!$B$22*12</f>
        <v/>
      </c>
      <c r="D12" s="11">
        <f>'Concessionarias e Totens'!$F$31*Premissas!$B$22*12</f>
        <v/>
      </c>
    </row>
    <row r="13">
      <c r="A13" t="inlineStr">
        <is>
          <t>Custo: equipe de coordenacao</t>
        </is>
      </c>
      <c r="B13" s="11">
        <f>Premissas!$B$23*12</f>
        <v/>
      </c>
      <c r="C13" s="11">
        <f>Premissas!$B$23*12</f>
        <v/>
      </c>
      <c r="D13" s="11">
        <f>Premissas!$B$23*12</f>
        <v/>
      </c>
    </row>
    <row r="14">
      <c r="A14" t="inlineStr">
        <is>
          <t>Custo: impostos sobre receita de servicos</t>
        </is>
      </c>
      <c r="B14" s="11">
        <f>Premissas!$B$24*B9</f>
        <v/>
      </c>
      <c r="C14" s="11">
        <f>Premissas!$B$24*C9</f>
        <v/>
      </c>
      <c r="D14" s="11">
        <f>Premissas!$B$24*D9</f>
        <v/>
      </c>
    </row>
    <row r="15">
      <c r="A15" t="inlineStr">
        <is>
          <t>Custo: marketing e aquisicao</t>
        </is>
      </c>
      <c r="B15" s="11">
        <f>Premissas!$B$25*B9</f>
        <v/>
      </c>
      <c r="C15" s="11">
        <f>Premissas!$B$25*C9</f>
        <v/>
      </c>
      <c r="D15" s="11">
        <f>Premissas!$B$25*D9</f>
        <v/>
      </c>
    </row>
    <row r="16">
      <c r="A16" t="inlineStr">
        <is>
          <t>CUSTOS TOTAIS</t>
        </is>
      </c>
      <c r="B16" s="15">
        <f>SUM(B11:B15)</f>
        <v/>
      </c>
      <c r="C16" s="15">
        <f>SUM(C11:C15)</f>
        <v/>
      </c>
      <c r="D16" s="15">
        <f>SUM(D11:D15)</f>
        <v/>
      </c>
    </row>
    <row r="17">
      <c r="A17" t="inlineStr"/>
    </row>
    <row r="18">
      <c r="A18" t="inlineStr">
        <is>
          <t>RESULTADO LIQUIDO ESTIMADO</t>
        </is>
      </c>
      <c r="B18" s="20">
        <f>B9-B16</f>
        <v/>
      </c>
      <c r="C18" s="20">
        <f>C9-C16</f>
        <v/>
      </c>
      <c r="D18" s="20">
        <f>D9-D16</f>
        <v/>
      </c>
    </row>
    <row r="19">
      <c r="A19" t="inlineStr">
        <is>
          <t>Margem liquida (%)</t>
        </is>
      </c>
      <c r="B19" s="21">
        <f>B18/B9</f>
        <v/>
      </c>
      <c r="C19" s="21">
        <f>C18/C9</f>
        <v/>
      </c>
      <c r="D19" s="21">
        <f>D18/D9</f>
        <v/>
      </c>
    </row>
    <row r="21">
      <c r="A21" s="9" t="inlineStr">
        <is>
          <t>Projecao baseada em dados publicos de mercado (Fenabrave/BYD 2025). Adesao e distribuicao por estado sao estimativas a validar em piloto.</t>
        </is>
      </c>
    </row>
  </sheetData>
  <mergeCells count="2">
    <mergeCell ref="A1:D1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20" customWidth="1" min="4" max="4"/>
    <col width="20" customWidth="1" min="5" max="5"/>
  </cols>
  <sheetData>
    <row r="1" ht="24" customHeight="1">
      <c r="A1" s="1" t="inlineStr">
        <is>
          <t>RESUMO EXECUTIVO — EVOLUT x BYD (CENARIO REALISTA: ADESAO 65%)</t>
        </is>
      </c>
    </row>
    <row r="3" ht="30" customHeight="1">
      <c r="A3" s="22" t="inlineStr">
        <is>
          <t>Receita bruta total anual</t>
        </is>
      </c>
      <c r="B3" s="22" t="inlineStr">
        <is>
          <t>Nº de concessionarias</t>
        </is>
      </c>
      <c r="C3" s="22" t="inlineStr">
        <is>
          <t>Nº total de totens</t>
        </is>
      </c>
      <c r="D3" s="22" t="inlineStr">
        <is>
          <t>Instalacoes solares/ano</t>
        </is>
      </c>
      <c r="E3" s="22" t="inlineStr">
        <is>
          <t>Resultado liquido estimado (anual)</t>
        </is>
      </c>
    </row>
    <row r="4" ht="26" customHeight="1">
      <c r="A4" s="23">
        <f>'Receita Consolidada (DRE)'!$C$9</f>
        <v/>
      </c>
      <c r="B4" s="24">
        <f>'Concessionarias e Totens'!$C$31</f>
        <v/>
      </c>
      <c r="C4" s="24">
        <f>'Concessionarias e Totens'!$F$31</f>
        <v/>
      </c>
      <c r="D4" s="24">
        <f>'Instalacoes Solares (SP)'!$C$9</f>
        <v/>
      </c>
      <c r="E4" s="23">
        <f>'Receita Consolidada (DRE)'!$C$18</f>
        <v/>
      </c>
    </row>
    <row r="7">
      <c r="A7" s="8" t="inlineStr">
        <is>
          <t>Receita por linha (cenario realista, anual)</t>
        </is>
      </c>
    </row>
    <row r="8">
      <c r="A8" s="3" t="inlineStr">
        <is>
          <t>Linha de receita</t>
        </is>
      </c>
      <c r="B8" s="3" t="inlineStr">
        <is>
          <t>Valor anual (R$)</t>
        </is>
      </c>
    </row>
    <row r="9">
      <c r="A9" s="4" t="inlineStr">
        <is>
          <t>1. SaaS concessionarias</t>
        </is>
      </c>
      <c r="B9" s="11">
        <f>'Receita Consolidada (DRE)'!$C$4</f>
        <v/>
      </c>
    </row>
    <row r="10">
      <c r="A10" s="4" t="inlineStr">
        <is>
          <t>2. SaaS totens itinerantes</t>
        </is>
      </c>
      <c r="B10" s="11">
        <f>'Receita Consolidada (DRE)'!$C$5</f>
        <v/>
      </c>
    </row>
    <row r="11">
      <c r="A11" s="4" t="inlineStr">
        <is>
          <t>3. Taxa por leads</t>
        </is>
      </c>
      <c r="B11" s="11">
        <f>'Receita Consolidada (DRE)'!$C$6</f>
        <v/>
      </c>
    </row>
    <row r="12">
      <c r="A12" s="4" t="inlineStr">
        <is>
          <t>4. Margem liquida instalacoes solares</t>
        </is>
      </c>
      <c r="B12" s="11">
        <f>'Receita Consolidada (DRE)'!$C$7</f>
        <v/>
      </c>
    </row>
    <row r="13">
      <c r="A13" s="4" t="inlineStr">
        <is>
          <t>5. Taxa de plataforma de gestao</t>
        </is>
      </c>
      <c r="B13" s="11">
        <f>'Receita Consolidada (DRE)'!$C$8</f>
        <v/>
      </c>
    </row>
    <row r="16">
      <c r="A16" s="8" t="inlineStr">
        <is>
          <t>Comparacao de cenarios — resultado liquido anual</t>
        </is>
      </c>
    </row>
    <row r="17">
      <c r="A17" s="3" t="inlineStr">
        <is>
          <t>Cenario</t>
        </is>
      </c>
      <c r="B17" s="3" t="inlineStr">
        <is>
          <t>Resultado liquido (R$)</t>
        </is>
      </c>
    </row>
    <row r="18">
      <c r="A18" s="4" t="inlineStr">
        <is>
          <t>Conservador (adesao 50%)</t>
        </is>
      </c>
      <c r="B18" s="11">
        <f>'Receita Consolidada (DRE)'!$B$18</f>
        <v/>
      </c>
    </row>
    <row r="19">
      <c r="A19" s="4" t="inlineStr">
        <is>
          <t>Realista (adesao 65%)</t>
        </is>
      </c>
      <c r="B19" s="11">
        <f>'Receita Consolidada (DRE)'!$C$18</f>
        <v/>
      </c>
    </row>
    <row r="20">
      <c r="A20" s="4" t="inlineStr">
        <is>
          <t>Agressivo (adesao 75%)</t>
        </is>
      </c>
      <c r="B20" s="11">
        <f>'Receita Consolidada (DRE)'!$D$18</f>
        <v/>
      </c>
    </row>
    <row r="39">
      <c r="A39" s="9" t="inlineStr">
        <is>
          <t>Projecao baseada em dados publicos de mercado (Fenabrave/BYD 2025). Adesao e distribuicao por estado sao estimativas a validar em piloto.</t>
        </is>
      </c>
    </row>
  </sheetData>
  <mergeCells count="2">
    <mergeCell ref="A39:F39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2026-06-07T17:56:12Z</dcterms:created>
  <dcterms:modified xsi:type="dcterms:W3CDTF">2026-06-07T17:56:12Z</dcterms:modified>
</cp:coreProperties>
</file>